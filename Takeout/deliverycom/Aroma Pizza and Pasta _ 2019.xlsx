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kolwetu\Downloads\"/>
    </mc:Choice>
  </mc:AlternateContent>
  <xr:revisionPtr revIDLastSave="0" documentId="8_{46657172-044F-4B8B-985C-6F2D3D0D5B40}" xr6:coauthVersionLast="47" xr6:coauthVersionMax="47" xr10:uidLastSave="{00000000-0000-0000-0000-000000000000}"/>
  <bookViews>
    <workbookView xWindow="-108" yWindow="-108" windowWidth="23256" windowHeight="12456" xr2:uid="{8F8651AE-749D-491D-A990-D2B025C5742C}"/>
  </bookViews>
  <sheets>
    <sheet name="20491 Alton Pkwy " sheetId="1" r:id="rId1"/>
    <sheet name="20491 Alton Pkwy _ Catering" sheetId="2" r:id="rId2"/>
  </sheets>
  <definedNames>
    <definedName name="_xlnm._FilterDatabase" localSheetId="0" hidden="1">'20491 Alton Pkwy '!$A$1:$O$31</definedName>
    <definedName name="_xlnm._FilterDatabase" localSheetId="1" hidden="1">'20491 Alton Pkwy _ Catering'!$A$1:$AK$3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N3" i="2"/>
  <c r="M3" i="2"/>
  <c r="L3" i="2"/>
  <c r="K3" i="2"/>
  <c r="J3" i="2"/>
  <c r="I3" i="2"/>
  <c r="H3" i="2"/>
  <c r="G3" i="2"/>
  <c r="F3" i="2"/>
  <c r="E3" i="2"/>
  <c r="E32" i="1"/>
  <c r="F32" i="1"/>
  <c r="G32" i="1"/>
  <c r="H32" i="1"/>
  <c r="I32" i="1"/>
  <c r="J32" i="1"/>
  <c r="K32" i="1"/>
  <c r="L32" i="1"/>
  <c r="M32" i="1"/>
  <c r="N32" i="1"/>
  <c r="O32" i="1"/>
</calcChain>
</file>

<file path=xl/sharedStrings.xml><?xml version="1.0" encoding="utf-8"?>
<sst xmlns="http://schemas.openxmlformats.org/spreadsheetml/2006/main" count="61" uniqueCount="17">
  <si>
    <t>Date Created</t>
  </si>
  <si>
    <t>Billing Target</t>
  </si>
  <si>
    <t>Order Id</t>
  </si>
  <si>
    <t>Order Created Time</t>
  </si>
  <si>
    <t>Subtotal</t>
  </si>
  <si>
    <t>Merchant Discount</t>
  </si>
  <si>
    <t>Sales Tax</t>
  </si>
  <si>
    <t>Tip</t>
  </si>
  <si>
    <t>Delivery Fee</t>
  </si>
  <si>
    <t>Total Invoice Amount</t>
  </si>
  <si>
    <t>Service Fee For Invoice</t>
  </si>
  <si>
    <t>CC Percent Fee For Invoice</t>
  </si>
  <si>
    <t>CC Transaction Fee For Invoice</t>
  </si>
  <si>
    <t>Promotional Gift Code For Invoice</t>
  </si>
  <si>
    <t>Payment Collected For Invoice</t>
  </si>
  <si>
    <t>DS94125</t>
  </si>
  <si>
    <t>DS100036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</si>
</sst>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</font>
    <font>
      <sz val="8"/>
      <color indexed="8"/>
      <name val="Verdana"/>
      <family val="2"/>
    </font>
    <font>
      <sz val="8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40" fontId="19" fillId="0" borderId="0" xfId="0" applyNumberFormat="1" applyFont="1"/>
    <xf numFmtId="0" fontId="18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40" fontId="2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3F5C-B1A8-418C-8390-C9ED1D4EB537}">
  <dimension ref="A1:O32"/>
  <sheetViews>
    <sheetView tabSelected="1" workbookViewId="0">
      <pane ySplit="1" topLeftCell="A8" activePane="bottomLeft" state="frozen"/>
      <selection pane="bottomLeft" activeCell="U27" sqref="U27"/>
    </sheetView>
  </sheetViews>
  <sheetFormatPr defaultRowHeight="10.199999999999999" x14ac:dyDescent="0.2"/>
  <cols>
    <col min="1" max="1" width="15.42578125" bestFit="1" customWidth="1"/>
    <col min="3" max="3" width="9.28515625" bestFit="1" customWidth="1"/>
    <col min="4" max="4" width="15.42578125" bestFit="1" customWidth="1"/>
    <col min="5" max="5" width="10.140625" bestFit="1" customWidth="1"/>
    <col min="6" max="15" width="9.42578125" bestFit="1" customWidth="1"/>
  </cols>
  <sheetData>
    <row r="1" spans="1:15" s="4" customFormat="1" ht="38.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>
        <v>43584.432638888888</v>
      </c>
      <c r="B2" t="s">
        <v>15</v>
      </c>
      <c r="C2">
        <v>27194407</v>
      </c>
      <c r="D2" s="1">
        <v>43582.944780092592</v>
      </c>
      <c r="E2" s="2">
        <v>21.97</v>
      </c>
      <c r="F2" s="2">
        <v>0</v>
      </c>
      <c r="G2" s="2">
        <v>1.76</v>
      </c>
      <c r="H2" s="2">
        <v>0</v>
      </c>
      <c r="I2" s="2">
        <v>0</v>
      </c>
      <c r="J2" s="2">
        <v>-19.53</v>
      </c>
      <c r="K2" s="2">
        <v>3.3</v>
      </c>
      <c r="L2" s="2">
        <v>0.65</v>
      </c>
      <c r="M2" s="2">
        <v>0.25</v>
      </c>
      <c r="N2" s="2">
        <v>0</v>
      </c>
      <c r="O2" s="2">
        <v>23.73</v>
      </c>
    </row>
    <row r="3" spans="1:15" x14ac:dyDescent="0.2">
      <c r="A3" s="1">
        <v>43597.968055555553</v>
      </c>
      <c r="B3" t="s">
        <v>15</v>
      </c>
      <c r="C3">
        <v>27304633</v>
      </c>
      <c r="D3" s="1">
        <v>43595.966145833336</v>
      </c>
      <c r="E3" s="2">
        <v>33.15</v>
      </c>
      <c r="F3" s="2">
        <v>0</v>
      </c>
      <c r="G3" s="2">
        <v>2.65</v>
      </c>
      <c r="H3" s="2">
        <v>4.97</v>
      </c>
      <c r="I3" s="2">
        <v>4.99</v>
      </c>
      <c r="J3" s="2">
        <v>-39.28</v>
      </c>
      <c r="K3" s="2">
        <v>4.97</v>
      </c>
      <c r="L3" s="2">
        <v>1.26</v>
      </c>
      <c r="M3" s="2">
        <v>0.25</v>
      </c>
      <c r="N3" s="2">
        <v>0</v>
      </c>
      <c r="O3" s="2">
        <v>45.76</v>
      </c>
    </row>
    <row r="4" spans="1:15" x14ac:dyDescent="0.2">
      <c r="A4" s="1">
        <v>43626.394444444442</v>
      </c>
      <c r="B4" t="s">
        <v>15</v>
      </c>
      <c r="C4">
        <v>27514817</v>
      </c>
      <c r="D4" s="1">
        <v>43623.011365740742</v>
      </c>
      <c r="E4" s="2">
        <v>18.37</v>
      </c>
      <c r="F4" s="2">
        <v>0</v>
      </c>
      <c r="G4" s="2">
        <v>1.47</v>
      </c>
      <c r="H4" s="2">
        <v>0</v>
      </c>
      <c r="I4" s="2">
        <v>0</v>
      </c>
      <c r="J4" s="2">
        <v>-16.28</v>
      </c>
      <c r="K4" s="2">
        <v>2.76</v>
      </c>
      <c r="L4" s="2">
        <v>0.55000000000000004</v>
      </c>
      <c r="M4" s="2">
        <v>0.25</v>
      </c>
      <c r="N4" s="2">
        <v>0</v>
      </c>
      <c r="O4" s="2">
        <v>19.84</v>
      </c>
    </row>
    <row r="5" spans="1:15" x14ac:dyDescent="0.2">
      <c r="A5" s="1">
        <v>43633.420138888891</v>
      </c>
      <c r="B5" t="s">
        <v>15</v>
      </c>
      <c r="C5">
        <v>27577955</v>
      </c>
      <c r="D5" s="1">
        <v>43630.872858796298</v>
      </c>
      <c r="E5" s="2">
        <v>22.78</v>
      </c>
      <c r="F5" s="2">
        <v>3.42</v>
      </c>
      <c r="G5" s="2">
        <v>1.55</v>
      </c>
      <c r="H5" s="2">
        <v>2.91</v>
      </c>
      <c r="I5" s="2">
        <v>4.99</v>
      </c>
      <c r="J5" s="2">
        <v>-24.87</v>
      </c>
      <c r="K5" s="2">
        <v>2.9</v>
      </c>
      <c r="L5" s="2">
        <v>0.79</v>
      </c>
      <c r="M5" s="2">
        <v>0.25</v>
      </c>
      <c r="N5" s="2">
        <v>0</v>
      </c>
      <c r="O5" s="2">
        <v>28.81</v>
      </c>
    </row>
    <row r="6" spans="1:15" x14ac:dyDescent="0.2">
      <c r="A6" s="1">
        <v>43640.553472222222</v>
      </c>
      <c r="B6" t="s">
        <v>15</v>
      </c>
      <c r="C6">
        <v>27610761</v>
      </c>
      <c r="D6" s="1">
        <v>43634.939282407409</v>
      </c>
      <c r="E6" s="2">
        <v>25.98</v>
      </c>
      <c r="F6" s="2">
        <v>0</v>
      </c>
      <c r="G6" s="2">
        <v>2.08</v>
      </c>
      <c r="H6" s="2">
        <v>0</v>
      </c>
      <c r="I6" s="2">
        <v>0</v>
      </c>
      <c r="J6" s="2">
        <v>-23.14</v>
      </c>
      <c r="K6" s="2">
        <v>3.9</v>
      </c>
      <c r="L6" s="2">
        <v>0.77</v>
      </c>
      <c r="M6" s="2">
        <v>0.25</v>
      </c>
      <c r="N6" s="2">
        <v>0</v>
      </c>
      <c r="O6" s="2">
        <v>28.06</v>
      </c>
    </row>
    <row r="7" spans="1:15" x14ac:dyDescent="0.2">
      <c r="A7" s="1">
        <v>43647.3125</v>
      </c>
      <c r="B7" t="s">
        <v>15</v>
      </c>
      <c r="C7">
        <v>27668613</v>
      </c>
      <c r="D7" s="1">
        <v>43642.97148148148</v>
      </c>
      <c r="E7" s="2">
        <v>14.48</v>
      </c>
      <c r="F7" s="2">
        <v>0</v>
      </c>
      <c r="G7" s="2">
        <v>1.1599999999999999</v>
      </c>
      <c r="H7" s="2">
        <v>0</v>
      </c>
      <c r="I7" s="2">
        <v>0</v>
      </c>
      <c r="J7" s="2">
        <v>-12.79</v>
      </c>
      <c r="K7" s="2">
        <v>2.17</v>
      </c>
      <c r="L7" s="2">
        <v>0.43</v>
      </c>
      <c r="M7" s="2">
        <v>0.25</v>
      </c>
      <c r="N7" s="2">
        <v>0</v>
      </c>
      <c r="O7" s="2">
        <v>15.64</v>
      </c>
    </row>
    <row r="8" spans="1:15" x14ac:dyDescent="0.2">
      <c r="A8" s="1">
        <v>43647.3125</v>
      </c>
      <c r="B8" t="s">
        <v>15</v>
      </c>
      <c r="C8">
        <v>27699142</v>
      </c>
      <c r="D8" s="1">
        <v>43646.864629629628</v>
      </c>
      <c r="E8" s="2">
        <v>24.74</v>
      </c>
      <c r="F8" s="2">
        <v>0</v>
      </c>
      <c r="G8" s="2">
        <v>1.98</v>
      </c>
      <c r="H8" s="2">
        <v>3.71</v>
      </c>
      <c r="I8" s="2">
        <v>1.99</v>
      </c>
      <c r="J8" s="2">
        <v>-27.57</v>
      </c>
      <c r="K8" s="2">
        <v>3.71</v>
      </c>
      <c r="L8" s="2">
        <v>0.89</v>
      </c>
      <c r="M8" s="2">
        <v>0.25</v>
      </c>
      <c r="N8" s="2">
        <v>0</v>
      </c>
      <c r="O8" s="2">
        <v>32.42</v>
      </c>
    </row>
    <row r="9" spans="1:15" x14ac:dyDescent="0.2">
      <c r="A9" s="1">
        <v>43654.392361111109</v>
      </c>
      <c r="B9" t="s">
        <v>15</v>
      </c>
      <c r="C9">
        <v>27721480</v>
      </c>
      <c r="D9" s="1">
        <v>43649.942210648151</v>
      </c>
      <c r="E9" s="2">
        <v>8.99</v>
      </c>
      <c r="F9" s="2">
        <v>0</v>
      </c>
      <c r="G9" s="2">
        <v>0.72</v>
      </c>
      <c r="H9" s="2">
        <v>0</v>
      </c>
      <c r="I9" s="2">
        <v>0</v>
      </c>
      <c r="J9" s="2">
        <v>-7.84</v>
      </c>
      <c r="K9" s="2">
        <v>1.35</v>
      </c>
      <c r="L9" s="2">
        <v>0.27</v>
      </c>
      <c r="M9" s="2">
        <v>0.25</v>
      </c>
      <c r="N9" s="2">
        <v>0</v>
      </c>
      <c r="O9" s="2">
        <v>9.7100000000000009</v>
      </c>
    </row>
    <row r="10" spans="1:15" x14ac:dyDescent="0.2">
      <c r="A10" s="1">
        <v>43654.392361111109</v>
      </c>
      <c r="B10" t="s">
        <v>15</v>
      </c>
      <c r="C10">
        <v>27725501</v>
      </c>
      <c r="D10" s="1">
        <v>43650.885370370372</v>
      </c>
      <c r="E10" s="2">
        <v>20.61</v>
      </c>
      <c r="F10" s="2">
        <v>0</v>
      </c>
      <c r="G10" s="2">
        <v>1.65</v>
      </c>
      <c r="H10" s="2">
        <v>2.87</v>
      </c>
      <c r="I10" s="2">
        <v>2.99</v>
      </c>
      <c r="J10" s="2">
        <v>-24.01</v>
      </c>
      <c r="K10" s="2">
        <v>3.09</v>
      </c>
      <c r="L10" s="2">
        <v>0.77</v>
      </c>
      <c r="M10" s="2">
        <v>0.25</v>
      </c>
      <c r="N10" s="2">
        <v>0</v>
      </c>
      <c r="O10" s="2">
        <v>28.12</v>
      </c>
    </row>
    <row r="11" spans="1:15" x14ac:dyDescent="0.2">
      <c r="A11" s="1">
        <v>43654.392361111109</v>
      </c>
      <c r="B11" t="s">
        <v>15</v>
      </c>
      <c r="C11">
        <v>27725863</v>
      </c>
      <c r="D11" s="1">
        <v>43650.952604166669</v>
      </c>
      <c r="E11" s="2">
        <v>23.57</v>
      </c>
      <c r="F11" s="2">
        <v>0</v>
      </c>
      <c r="G11" s="2">
        <v>1.89</v>
      </c>
      <c r="H11" s="2">
        <v>0</v>
      </c>
      <c r="I11" s="2">
        <v>0</v>
      </c>
      <c r="J11" s="2">
        <v>0.95</v>
      </c>
      <c r="K11" s="2">
        <v>0</v>
      </c>
      <c r="L11" s="2">
        <v>0.7</v>
      </c>
      <c r="M11" s="2">
        <v>0.25</v>
      </c>
      <c r="N11" s="2">
        <v>0</v>
      </c>
      <c r="O11" s="2">
        <v>0</v>
      </c>
    </row>
    <row r="12" spans="1:15" x14ac:dyDescent="0.2">
      <c r="A12" s="1">
        <v>43661.399305555555</v>
      </c>
      <c r="B12" t="s">
        <v>15</v>
      </c>
      <c r="C12">
        <v>27752171</v>
      </c>
      <c r="D12" s="1">
        <v>43654.882777777777</v>
      </c>
      <c r="E12" s="2">
        <v>8.99</v>
      </c>
      <c r="F12" s="2">
        <v>0</v>
      </c>
      <c r="G12" s="2">
        <v>0.72</v>
      </c>
      <c r="H12" s="2">
        <v>0</v>
      </c>
      <c r="I12" s="2">
        <v>0</v>
      </c>
      <c r="J12" s="2">
        <v>-7.84</v>
      </c>
      <c r="K12" s="2">
        <v>1.35</v>
      </c>
      <c r="L12" s="2">
        <v>0.27</v>
      </c>
      <c r="M12" s="2">
        <v>0.25</v>
      </c>
      <c r="N12" s="2">
        <v>0</v>
      </c>
      <c r="O12" s="2">
        <v>9.7100000000000009</v>
      </c>
    </row>
    <row r="13" spans="1:15" x14ac:dyDescent="0.2">
      <c r="A13" s="1">
        <v>43661.399305555555</v>
      </c>
      <c r="B13" t="s">
        <v>15</v>
      </c>
      <c r="C13">
        <v>27779757</v>
      </c>
      <c r="D13" s="1">
        <v>43658.82240740741</v>
      </c>
      <c r="E13" s="2">
        <v>22.97</v>
      </c>
      <c r="F13" s="2">
        <v>0</v>
      </c>
      <c r="G13" s="2">
        <v>1.84</v>
      </c>
      <c r="H13" s="2">
        <v>3.45</v>
      </c>
      <c r="I13" s="2">
        <v>1.99</v>
      </c>
      <c r="J13" s="2">
        <v>-25.72</v>
      </c>
      <c r="K13" s="2">
        <v>3.45</v>
      </c>
      <c r="L13" s="2">
        <v>0.83</v>
      </c>
      <c r="M13" s="2">
        <v>0.25</v>
      </c>
      <c r="N13" s="2">
        <v>0</v>
      </c>
      <c r="O13" s="2">
        <v>30.25</v>
      </c>
    </row>
    <row r="14" spans="1:15" x14ac:dyDescent="0.2">
      <c r="A14" s="1">
        <v>43668.402777777781</v>
      </c>
      <c r="B14" t="s">
        <v>15</v>
      </c>
      <c r="C14">
        <v>27837084</v>
      </c>
      <c r="D14" s="1">
        <v>43665.884895833333</v>
      </c>
      <c r="E14" s="2">
        <v>28.95</v>
      </c>
      <c r="F14" s="2">
        <v>0</v>
      </c>
      <c r="G14" s="2">
        <v>2.3199999999999998</v>
      </c>
      <c r="H14" s="2">
        <v>0</v>
      </c>
      <c r="I14" s="2">
        <v>0</v>
      </c>
      <c r="J14" s="2">
        <v>-25.82</v>
      </c>
      <c r="K14" s="2">
        <v>4.34</v>
      </c>
      <c r="L14" s="2">
        <v>0.86</v>
      </c>
      <c r="M14" s="2">
        <v>0.25</v>
      </c>
      <c r="N14" s="2">
        <v>0</v>
      </c>
      <c r="O14" s="2">
        <v>31.27</v>
      </c>
    </row>
    <row r="15" spans="1:15" x14ac:dyDescent="0.2">
      <c r="A15" s="1">
        <v>43724.484722222223</v>
      </c>
      <c r="B15" t="s">
        <v>15</v>
      </c>
      <c r="C15">
        <v>28256812</v>
      </c>
      <c r="D15" s="1">
        <v>43719.764780092592</v>
      </c>
      <c r="E15" s="2">
        <v>29.97</v>
      </c>
      <c r="F15" s="2">
        <v>0</v>
      </c>
      <c r="G15" s="2">
        <v>2.4</v>
      </c>
      <c r="H15" s="2">
        <v>4.5</v>
      </c>
      <c r="I15" s="2">
        <v>0</v>
      </c>
      <c r="J15" s="2">
        <v>-31.11</v>
      </c>
      <c r="K15" s="2">
        <v>4.5</v>
      </c>
      <c r="L15" s="2">
        <v>1.01</v>
      </c>
      <c r="M15" s="2">
        <v>0.25</v>
      </c>
      <c r="N15" s="2">
        <v>0</v>
      </c>
      <c r="O15" s="2">
        <v>36.869999999999997</v>
      </c>
    </row>
    <row r="16" spans="1:15" x14ac:dyDescent="0.2">
      <c r="A16" s="1">
        <v>43731.425694444442</v>
      </c>
      <c r="B16" t="s">
        <v>15</v>
      </c>
      <c r="C16">
        <v>28307924</v>
      </c>
      <c r="D16" s="1">
        <v>43725.823240740741</v>
      </c>
      <c r="E16" s="2">
        <v>8.98</v>
      </c>
      <c r="F16" s="2">
        <v>0</v>
      </c>
      <c r="G16" s="2">
        <v>0.72</v>
      </c>
      <c r="H16" s="2">
        <v>0.9</v>
      </c>
      <c r="I16" s="2">
        <v>0</v>
      </c>
      <c r="J16" s="2">
        <v>-8.7100000000000009</v>
      </c>
      <c r="K16" s="2">
        <v>1.35</v>
      </c>
      <c r="L16" s="2">
        <v>0.28999999999999998</v>
      </c>
      <c r="M16" s="2">
        <v>0.25</v>
      </c>
      <c r="N16" s="2">
        <v>0</v>
      </c>
      <c r="O16" s="2">
        <v>10.6</v>
      </c>
    </row>
    <row r="17" spans="1:15" x14ac:dyDescent="0.2">
      <c r="A17" s="1">
        <v>43759.53402777778</v>
      </c>
      <c r="B17" t="s">
        <v>15</v>
      </c>
      <c r="C17">
        <v>28565189</v>
      </c>
      <c r="D17" s="1">
        <v>43756.836134259262</v>
      </c>
      <c r="E17" s="2">
        <v>12.99</v>
      </c>
      <c r="F17" s="2">
        <v>0</v>
      </c>
      <c r="G17" s="2">
        <v>1.04</v>
      </c>
      <c r="H17" s="2">
        <v>0</v>
      </c>
      <c r="I17" s="2">
        <v>0</v>
      </c>
      <c r="J17" s="2">
        <v>-11.44</v>
      </c>
      <c r="K17" s="2">
        <v>1.95</v>
      </c>
      <c r="L17" s="2">
        <v>0.39</v>
      </c>
      <c r="M17" s="2">
        <v>0.25</v>
      </c>
      <c r="N17" s="2">
        <v>0</v>
      </c>
      <c r="O17" s="2">
        <v>14.03</v>
      </c>
    </row>
    <row r="18" spans="1:15" x14ac:dyDescent="0.2">
      <c r="A18" s="1">
        <v>43759.53402777778</v>
      </c>
      <c r="B18" t="s">
        <v>15</v>
      </c>
      <c r="C18">
        <v>28565493</v>
      </c>
      <c r="D18" s="1">
        <v>43756.84715277778</v>
      </c>
      <c r="E18" s="2">
        <v>13.58</v>
      </c>
      <c r="F18" s="2">
        <v>0</v>
      </c>
      <c r="G18" s="2">
        <v>1.0900000000000001</v>
      </c>
      <c r="H18" s="2">
        <v>0</v>
      </c>
      <c r="I18" s="2">
        <v>0</v>
      </c>
      <c r="J18" s="2">
        <v>-11.98</v>
      </c>
      <c r="K18" s="2">
        <v>2.04</v>
      </c>
      <c r="L18" s="2">
        <v>0.4</v>
      </c>
      <c r="M18" s="2">
        <v>0.25</v>
      </c>
      <c r="N18" s="2">
        <v>0</v>
      </c>
      <c r="O18" s="2">
        <v>14.67</v>
      </c>
    </row>
    <row r="19" spans="1:15" x14ac:dyDescent="0.2">
      <c r="A19" s="1">
        <v>43759.53402777778</v>
      </c>
      <c r="B19" t="s">
        <v>15</v>
      </c>
      <c r="C19">
        <v>28566366</v>
      </c>
      <c r="D19" s="1">
        <v>43756.891574074078</v>
      </c>
      <c r="E19" s="2">
        <v>36.979999999999997</v>
      </c>
      <c r="F19" s="2">
        <v>0</v>
      </c>
      <c r="G19" s="2">
        <v>2.96</v>
      </c>
      <c r="H19" s="2">
        <v>3.7</v>
      </c>
      <c r="I19" s="2">
        <v>0</v>
      </c>
      <c r="J19" s="2">
        <v>-36.64</v>
      </c>
      <c r="K19" s="2">
        <v>5.55</v>
      </c>
      <c r="L19" s="2">
        <v>1.2</v>
      </c>
      <c r="M19" s="2">
        <v>0.25</v>
      </c>
      <c r="N19" s="2">
        <v>0</v>
      </c>
      <c r="O19" s="2">
        <v>43.64</v>
      </c>
    </row>
    <row r="20" spans="1:15" x14ac:dyDescent="0.2">
      <c r="A20" s="1">
        <v>43766.434027777781</v>
      </c>
      <c r="B20" t="s">
        <v>15</v>
      </c>
      <c r="C20">
        <v>28579535</v>
      </c>
      <c r="D20" s="1">
        <v>43758.715856481482</v>
      </c>
      <c r="E20" s="2">
        <v>13.98</v>
      </c>
      <c r="F20" s="2">
        <v>2.1</v>
      </c>
      <c r="G20" s="2">
        <v>0.95</v>
      </c>
      <c r="H20" s="2">
        <v>1.19</v>
      </c>
      <c r="I20" s="2">
        <v>4.99</v>
      </c>
      <c r="J20" s="2">
        <v>-16.46</v>
      </c>
      <c r="K20" s="2">
        <v>1.78</v>
      </c>
      <c r="L20" s="2">
        <v>0.52</v>
      </c>
      <c r="M20" s="2">
        <v>0.25</v>
      </c>
      <c r="N20" s="2">
        <v>0</v>
      </c>
      <c r="O20" s="2">
        <v>19.010000000000002</v>
      </c>
    </row>
    <row r="21" spans="1:15" x14ac:dyDescent="0.2">
      <c r="A21" s="1">
        <v>43766.434027777781</v>
      </c>
      <c r="B21" t="s">
        <v>15</v>
      </c>
      <c r="C21">
        <v>28588957</v>
      </c>
      <c r="D21" s="1">
        <v>43759.783101851855</v>
      </c>
      <c r="E21" s="2">
        <v>19.98</v>
      </c>
      <c r="F21" s="2">
        <v>0</v>
      </c>
      <c r="G21" s="2">
        <v>1.6</v>
      </c>
      <c r="H21" s="2">
        <v>2</v>
      </c>
      <c r="I21" s="2">
        <v>4.99</v>
      </c>
      <c r="J21" s="2">
        <v>-24.86</v>
      </c>
      <c r="K21" s="2">
        <v>3</v>
      </c>
      <c r="L21" s="2">
        <v>0.46</v>
      </c>
      <c r="M21" s="2">
        <v>0.25</v>
      </c>
      <c r="N21" s="2">
        <v>12</v>
      </c>
      <c r="O21" s="2">
        <v>16.57</v>
      </c>
    </row>
    <row r="22" spans="1:15" x14ac:dyDescent="0.2">
      <c r="A22" s="1">
        <v>43770.429166666669</v>
      </c>
      <c r="B22" t="s">
        <v>15</v>
      </c>
      <c r="C22">
        <v>28675970</v>
      </c>
      <c r="D22" s="1">
        <v>43769.835023148145</v>
      </c>
      <c r="E22" s="2">
        <v>26.75</v>
      </c>
      <c r="F22" s="2">
        <v>0</v>
      </c>
      <c r="G22" s="2">
        <v>2.14</v>
      </c>
      <c r="H22" s="2">
        <v>0</v>
      </c>
      <c r="I22" s="2">
        <v>0</v>
      </c>
      <c r="J22" s="2">
        <v>-23.84</v>
      </c>
      <c r="K22" s="2">
        <v>4.01</v>
      </c>
      <c r="L22" s="2">
        <v>0.79</v>
      </c>
      <c r="M22" s="2">
        <v>0.25</v>
      </c>
      <c r="N22" s="2">
        <v>0</v>
      </c>
      <c r="O22" s="2">
        <v>28.89</v>
      </c>
    </row>
    <row r="23" spans="1:15" x14ac:dyDescent="0.2">
      <c r="A23" s="1">
        <v>43773.373611111114</v>
      </c>
      <c r="B23" t="s">
        <v>15</v>
      </c>
      <c r="C23">
        <v>28694276</v>
      </c>
      <c r="D23" s="1">
        <v>43771.869456018518</v>
      </c>
      <c r="E23" s="2">
        <v>48.96</v>
      </c>
      <c r="F23" s="2">
        <v>0</v>
      </c>
      <c r="G23" s="2">
        <v>3.92</v>
      </c>
      <c r="H23" s="2">
        <v>0</v>
      </c>
      <c r="I23" s="2">
        <v>0</v>
      </c>
      <c r="J23" s="2">
        <v>-43.84</v>
      </c>
      <c r="K23" s="2">
        <v>7.34</v>
      </c>
      <c r="L23" s="2">
        <v>1.45</v>
      </c>
      <c r="M23" s="2">
        <v>0.25</v>
      </c>
      <c r="N23" s="2">
        <v>0</v>
      </c>
      <c r="O23" s="2">
        <v>52.88</v>
      </c>
    </row>
    <row r="24" spans="1:15" x14ac:dyDescent="0.2">
      <c r="A24" s="1">
        <v>43781.675000000003</v>
      </c>
      <c r="B24" t="s">
        <v>15</v>
      </c>
      <c r="C24">
        <v>28718108</v>
      </c>
      <c r="D24" s="1">
        <v>43774.826701388891</v>
      </c>
      <c r="E24" s="2">
        <v>19.989999999999998</v>
      </c>
      <c r="F24" s="2">
        <v>0</v>
      </c>
      <c r="G24" s="2">
        <v>1.6</v>
      </c>
      <c r="H24" s="2">
        <v>3</v>
      </c>
      <c r="I24" s="2">
        <v>1.99</v>
      </c>
      <c r="J24" s="2">
        <v>-22.6</v>
      </c>
      <c r="K24" s="2">
        <v>3</v>
      </c>
      <c r="L24" s="2">
        <v>0.73</v>
      </c>
      <c r="M24" s="2">
        <v>0.25</v>
      </c>
      <c r="N24" s="2">
        <v>0</v>
      </c>
      <c r="O24" s="2">
        <v>26.58</v>
      </c>
    </row>
    <row r="25" spans="1:15" x14ac:dyDescent="0.2">
      <c r="A25" s="1">
        <v>43781.675000000003</v>
      </c>
      <c r="B25" t="s">
        <v>15</v>
      </c>
      <c r="C25">
        <v>28739038</v>
      </c>
      <c r="D25" s="1">
        <v>43777.621666666666</v>
      </c>
      <c r="E25" s="2">
        <v>11.99</v>
      </c>
      <c r="F25" s="2">
        <v>0</v>
      </c>
      <c r="G25" s="2">
        <v>0.96</v>
      </c>
      <c r="H25" s="2">
        <v>0</v>
      </c>
      <c r="I25" s="2">
        <v>0</v>
      </c>
      <c r="J25" s="2">
        <v>-10.54</v>
      </c>
      <c r="K25" s="2">
        <v>1.8</v>
      </c>
      <c r="L25" s="2">
        <v>0.36</v>
      </c>
      <c r="M25" s="2">
        <v>0.25</v>
      </c>
      <c r="N25" s="2">
        <v>0</v>
      </c>
      <c r="O25" s="2">
        <v>12.95</v>
      </c>
    </row>
    <row r="26" spans="1:15" x14ac:dyDescent="0.2">
      <c r="A26" s="1">
        <v>43787.415972222225</v>
      </c>
      <c r="B26" t="s">
        <v>15</v>
      </c>
      <c r="C26">
        <v>28761768</v>
      </c>
      <c r="D26" s="1">
        <v>43779.766851851855</v>
      </c>
      <c r="E26" s="2">
        <v>19.47</v>
      </c>
      <c r="F26" s="2">
        <v>0</v>
      </c>
      <c r="G26" s="2">
        <v>1.56</v>
      </c>
      <c r="H26" s="2">
        <v>0</v>
      </c>
      <c r="I26" s="2">
        <v>0</v>
      </c>
      <c r="J26" s="2">
        <v>-17.28</v>
      </c>
      <c r="K26" s="2">
        <v>2.92</v>
      </c>
      <c r="L26" s="2">
        <v>0.57999999999999996</v>
      </c>
      <c r="M26" s="2">
        <v>0.25</v>
      </c>
      <c r="N26" s="2">
        <v>0</v>
      </c>
      <c r="O26" s="2">
        <v>21.03</v>
      </c>
    </row>
    <row r="27" spans="1:15" x14ac:dyDescent="0.2">
      <c r="A27" s="1">
        <v>43787.415972222225</v>
      </c>
      <c r="B27" t="s">
        <v>15</v>
      </c>
      <c r="C27">
        <v>28792871</v>
      </c>
      <c r="D27" s="1">
        <v>43782.95039351852</v>
      </c>
      <c r="E27" s="2">
        <v>21.37</v>
      </c>
      <c r="F27" s="2">
        <v>0</v>
      </c>
      <c r="G27" s="2">
        <v>1.71</v>
      </c>
      <c r="H27" s="2">
        <v>0</v>
      </c>
      <c r="I27" s="2">
        <v>0</v>
      </c>
      <c r="J27" s="2">
        <v>-18.989999999999998</v>
      </c>
      <c r="K27" s="2">
        <v>3.21</v>
      </c>
      <c r="L27" s="2">
        <v>0.63</v>
      </c>
      <c r="M27" s="2">
        <v>0.25</v>
      </c>
      <c r="N27" s="2">
        <v>0</v>
      </c>
      <c r="O27" s="2">
        <v>23.08</v>
      </c>
    </row>
    <row r="28" spans="1:15" x14ac:dyDescent="0.2">
      <c r="A28" s="1">
        <v>43787.415972222225</v>
      </c>
      <c r="B28" t="s">
        <v>15</v>
      </c>
      <c r="C28">
        <v>28801657</v>
      </c>
      <c r="D28" s="1">
        <v>43783.875659722224</v>
      </c>
      <c r="E28" s="2">
        <v>12.13</v>
      </c>
      <c r="F28" s="2">
        <v>0</v>
      </c>
      <c r="G28" s="2">
        <v>0.97</v>
      </c>
      <c r="H28" s="2">
        <v>0</v>
      </c>
      <c r="I28" s="2">
        <v>0</v>
      </c>
      <c r="J28" s="2">
        <v>-10.67</v>
      </c>
      <c r="K28" s="2">
        <v>1.82</v>
      </c>
      <c r="L28" s="2">
        <v>0.36</v>
      </c>
      <c r="M28" s="2">
        <v>0.25</v>
      </c>
      <c r="N28" s="2">
        <v>0</v>
      </c>
      <c r="O28" s="2">
        <v>13.1</v>
      </c>
    </row>
    <row r="29" spans="1:15" x14ac:dyDescent="0.2">
      <c r="A29" s="1">
        <v>43794.518750000003</v>
      </c>
      <c r="B29" t="s">
        <v>15</v>
      </c>
      <c r="C29">
        <v>28831966</v>
      </c>
      <c r="D29" s="1">
        <v>43786.792881944442</v>
      </c>
      <c r="E29" s="2">
        <v>15.98</v>
      </c>
      <c r="F29" s="2">
        <v>0</v>
      </c>
      <c r="G29" s="2">
        <v>1.28</v>
      </c>
      <c r="H29" s="2">
        <v>2.4</v>
      </c>
      <c r="I29" s="2">
        <v>0</v>
      </c>
      <c r="J29" s="2">
        <v>-16.47</v>
      </c>
      <c r="K29" s="2">
        <v>2.4</v>
      </c>
      <c r="L29" s="2">
        <v>0.54</v>
      </c>
      <c r="M29" s="2">
        <v>0.25</v>
      </c>
      <c r="N29" s="2">
        <v>0</v>
      </c>
      <c r="O29" s="2">
        <v>19.66</v>
      </c>
    </row>
    <row r="30" spans="1:15" x14ac:dyDescent="0.2">
      <c r="A30" s="1">
        <v>43794.518750000003</v>
      </c>
      <c r="B30" t="s">
        <v>15</v>
      </c>
      <c r="C30">
        <v>28856234</v>
      </c>
      <c r="D30" s="1">
        <v>43789.818611111114</v>
      </c>
      <c r="E30" s="2">
        <v>16.989999999999998</v>
      </c>
      <c r="F30" s="2">
        <v>0</v>
      </c>
      <c r="G30" s="2">
        <v>1.36</v>
      </c>
      <c r="H30" s="2">
        <v>0</v>
      </c>
      <c r="I30" s="2">
        <v>0</v>
      </c>
      <c r="J30" s="2">
        <v>-15.05</v>
      </c>
      <c r="K30" s="2">
        <v>2.5499999999999998</v>
      </c>
      <c r="L30" s="2">
        <v>0.5</v>
      </c>
      <c r="M30" s="2">
        <v>0.25</v>
      </c>
      <c r="N30" s="2">
        <v>0</v>
      </c>
      <c r="O30" s="2">
        <v>18.350000000000001</v>
      </c>
    </row>
    <row r="31" spans="1:15" x14ac:dyDescent="0.2">
      <c r="A31" s="1">
        <v>43800.706250000003</v>
      </c>
      <c r="B31" t="s">
        <v>15</v>
      </c>
      <c r="C31">
        <v>28932031</v>
      </c>
      <c r="D31" s="1">
        <v>43799.853680555556</v>
      </c>
      <c r="E31" s="2">
        <v>83.7</v>
      </c>
      <c r="F31" s="2">
        <v>0</v>
      </c>
      <c r="G31" s="2">
        <v>6.7</v>
      </c>
      <c r="H31" s="2">
        <v>12.56</v>
      </c>
      <c r="I31" s="2">
        <v>2.99</v>
      </c>
      <c r="J31" s="2">
        <v>-90.23</v>
      </c>
      <c r="K31" s="2">
        <v>12.56</v>
      </c>
      <c r="L31" s="2">
        <v>2.91</v>
      </c>
      <c r="M31" s="2">
        <v>0.25</v>
      </c>
      <c r="N31" s="2">
        <v>0</v>
      </c>
      <c r="O31" s="2">
        <v>105.95</v>
      </c>
    </row>
    <row r="32" spans="1:15" x14ac:dyDescent="0.2">
      <c r="E32" s="5">
        <f>SUM(E2:E31)</f>
        <v>689.34000000000015</v>
      </c>
      <c r="F32" s="5">
        <f>SUM(F2:F31)</f>
        <v>5.52</v>
      </c>
      <c r="G32" s="5">
        <f>SUM(G2:G31)</f>
        <v>54.750000000000007</v>
      </c>
      <c r="H32" s="5">
        <f>SUM(H2:H31)</f>
        <v>48.160000000000004</v>
      </c>
      <c r="I32" s="5">
        <f>SUM(I2:I31)</f>
        <v>31.909999999999997</v>
      </c>
      <c r="J32" s="5">
        <f>SUM(J2:J31)</f>
        <v>-664.45</v>
      </c>
      <c r="K32" s="5">
        <f>SUM(K2:K31)</f>
        <v>99.07</v>
      </c>
      <c r="L32" s="5">
        <f>SUM(L2:L31)</f>
        <v>22.159999999999993</v>
      </c>
      <c r="M32" s="5">
        <f>SUM(M2:M31)</f>
        <v>7.5</v>
      </c>
      <c r="N32" s="5">
        <f>SUM(N2:N31)</f>
        <v>12</v>
      </c>
      <c r="O32" s="5">
        <f>SUM(O2:O31)</f>
        <v>781.18000000000018</v>
      </c>
    </row>
  </sheetData>
  <autoFilter ref="A1:O31" xr:uid="{EE913F5C-B1A8-418C-8390-C9ED1D4EB537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525D-8E8A-4D3B-856D-D23C18976CE4}">
  <dimension ref="A1:O3"/>
  <sheetViews>
    <sheetView workbookViewId="0">
      <selection activeCell="E21" sqref="E21"/>
    </sheetView>
  </sheetViews>
  <sheetFormatPr defaultRowHeight="10.199999999999999" x14ac:dyDescent="0.2"/>
  <cols>
    <col min="1" max="1" width="15.42578125" bestFit="1" customWidth="1"/>
    <col min="3" max="3" width="9.28515625" bestFit="1" customWidth="1"/>
    <col min="4" max="4" width="15.42578125" bestFit="1" customWidth="1"/>
    <col min="5" max="5" width="10.140625" bestFit="1" customWidth="1"/>
    <col min="6" max="15" width="9.42578125" bestFit="1" customWidth="1"/>
  </cols>
  <sheetData>
    <row r="1" spans="1:15" s="4" customFormat="1" ht="38.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>
        <v>43717.400694444441</v>
      </c>
      <c r="B2" t="s">
        <v>16</v>
      </c>
      <c r="C2">
        <v>28180571</v>
      </c>
      <c r="D2" s="1">
        <v>43709.842233796298</v>
      </c>
      <c r="E2" s="2">
        <v>363.69</v>
      </c>
      <c r="F2" s="2">
        <v>0</v>
      </c>
      <c r="G2" s="2">
        <v>29.1</v>
      </c>
      <c r="H2" s="2">
        <v>36.369999999999997</v>
      </c>
      <c r="I2" s="2">
        <v>39.99</v>
      </c>
      <c r="J2" s="2">
        <v>13.15</v>
      </c>
      <c r="K2" s="2">
        <v>0</v>
      </c>
      <c r="L2" s="2">
        <v>12.9</v>
      </c>
      <c r="M2" s="2">
        <v>0.25</v>
      </c>
      <c r="N2" s="2">
        <v>0</v>
      </c>
      <c r="O2" s="2">
        <v>0</v>
      </c>
    </row>
    <row r="3" spans="1:15" x14ac:dyDescent="0.2">
      <c r="E3" s="5">
        <f>SUM(E2:E2)</f>
        <v>363.69</v>
      </c>
      <c r="F3" s="5">
        <f>SUM(F2:F2)</f>
        <v>0</v>
      </c>
      <c r="G3" s="5">
        <f>SUM(G2:G2)</f>
        <v>29.1</v>
      </c>
      <c r="H3" s="5">
        <f>SUM(H2:H2)</f>
        <v>36.369999999999997</v>
      </c>
      <c r="I3" s="5">
        <f>SUM(I2:I2)</f>
        <v>39.99</v>
      </c>
      <c r="J3" s="5">
        <f>SUM(J2:J2)</f>
        <v>13.15</v>
      </c>
      <c r="K3" s="5">
        <f>SUM(K2:K2)</f>
        <v>0</v>
      </c>
      <c r="L3" s="5">
        <f>SUM(L2:L2)</f>
        <v>12.9</v>
      </c>
      <c r="M3" s="5">
        <f>SUM(M2:M2)</f>
        <v>0.25</v>
      </c>
      <c r="N3" s="5">
        <f>SUM(N2:N2)</f>
        <v>0</v>
      </c>
      <c r="O3" s="5">
        <f>SUM(O2:O2)</f>
        <v>0</v>
      </c>
    </row>
  </sheetData>
  <autoFilter ref="A1:AK3" xr:uid="{3856525D-8E8A-4D3B-856D-D23C18976C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20491 Alton Pkwy </vt:lpstr>
      <vt:lpstr>20491 Alton Pkwy _ Catering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Sumaya Williams</cp:lastModifiedBy>
  <dcterms:created xsi:type="dcterms:W3CDTF">2026-02-19T15:50:23Z</dcterms:created>
  <dcterms:modified xsi:type="dcterms:W3CDTF">2026-02-19T15:50:23Z</dcterms:modified>
</cp:coreProperties>
</file>