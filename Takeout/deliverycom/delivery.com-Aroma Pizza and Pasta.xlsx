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49C0DA4-4703-4656-B73A-B08BD4FB569A}" xr6:coauthVersionLast="47" xr6:coauthVersionMax="47" xr10:uidLastSave="{00000000-0000-0000-0000-000000000000}"/>
  <bookViews>
    <workbookView xWindow="-108" yWindow="-108" windowWidth="23256" windowHeight="12456" xr2:uid="{22E42E9F-5659-4AE7-9537-B609B728D129}"/>
  </bookViews>
  <sheets>
    <sheet name="20491 Alton Pkwy _ Catering" sheetId="1" r:id="rId1"/>
    <sheet name="20491 Alton Pkwy " sheetId="2" r:id="rId2"/>
  </sheets>
  <definedNames>
    <definedName name="_xlnm._FilterDatabase" localSheetId="0" hidden="1">'20491 Alton Pkwy _ Catering'!$A$1:$M$6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F6" i="1"/>
  <c r="G6" i="1"/>
  <c r="H6" i="1"/>
  <c r="I6" i="1"/>
  <c r="J6" i="1"/>
  <c r="K6" i="1"/>
  <c r="L6" i="1"/>
  <c r="M6" i="1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</calcChain>
</file>

<file path=xl/sharedStrings.xml><?xml version="1.0" encoding="utf-8"?>
<sst xmlns="http://schemas.openxmlformats.org/spreadsheetml/2006/main" count="52" uniqueCount="21">
  <si>
    <t>Date Created</t>
  </si>
  <si>
    <t>Billing Target</t>
  </si>
  <si>
    <t>Order Id</t>
  </si>
  <si>
    <t>Order Created Time</t>
  </si>
  <si>
    <t>Subtotal</t>
  </si>
  <si>
    <t>Merchant Discount</t>
  </si>
  <si>
    <t>Sales Tax</t>
  </si>
  <si>
    <t>Tip</t>
  </si>
  <si>
    <t>Delivery Fee</t>
  </si>
  <si>
    <t>Total Invoice Amount</t>
  </si>
  <si>
    <t>Service Fee For Invoice</t>
  </si>
  <si>
    <t>Alt Service For Invoice</t>
  </si>
  <si>
    <t>CC Percent Fee For Invoice</t>
  </si>
  <si>
    <t>CC Transaction Fee For Invoice</t>
  </si>
  <si>
    <t>Promotional Gift Code For Invoice</t>
  </si>
  <si>
    <t>Purchased Gift Code For Invoice</t>
  </si>
  <si>
    <t>Dcom Sponsor Promotions For Invoice</t>
  </si>
  <si>
    <t>Payment Collected For Invoice</t>
  </si>
  <si>
    <t>Marketplace Facilitator Sales Tax WIthhold</t>
  </si>
  <si>
    <t>DS100036</t>
  </si>
  <si>
    <t>DS94125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</si>
</sst>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_);[Red]\(#,##0.00\)"/>
  </numFmts>
  <fonts count="21" x14ac:knownFonts="1">
    <font>
      <sz val="8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7"/>
      <name val="Arial"/>
      <family val="2"/>
    </font>
    <font>
      <sz val="8"/>
      <color indexed="8"/>
      <name val="Verdana"/>
      <family val="2"/>
    </font>
    <font>
      <sz val="8"/>
      <name val="Verdan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168" fontId="19" fillId="0" borderId="0" xfId="0" applyNumberFormat="1" applyFont="1"/>
    <xf numFmtId="0" fontId="18" fillId="33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20" fillId="0" borderId="0" xfId="0" applyFont="1"/>
    <xf numFmtId="168" fontId="20" fillId="0" borderId="10" xfId="0" applyNumberFormat="1" applyFont="1" applyBorder="1"/>
    <xf numFmtId="168" fontId="19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FABBC-E5AB-4434-ABDC-24350AE162DC}">
  <dimension ref="A1:M6"/>
  <sheetViews>
    <sheetView tabSelected="1" workbookViewId="0">
      <selection activeCell="G14" sqref="G14"/>
    </sheetView>
  </sheetViews>
  <sheetFormatPr defaultRowHeight="10.199999999999999" x14ac:dyDescent="0.2"/>
  <cols>
    <col min="1" max="1" width="16.42578125" bestFit="1" customWidth="1"/>
    <col min="2" max="2" width="13.140625" bestFit="1" customWidth="1"/>
    <col min="3" max="3" width="9.85546875" bestFit="1" customWidth="1"/>
    <col min="4" max="4" width="16.42578125" bestFit="1" customWidth="1"/>
    <col min="5" max="8" width="9.28515625" bestFit="1" customWidth="1"/>
    <col min="9" max="9" width="10" bestFit="1" customWidth="1"/>
    <col min="10" max="13" width="9.28515625" bestFit="1" customWidth="1"/>
  </cols>
  <sheetData>
    <row r="1" spans="1:13" s="4" customFormat="1" ht="38.4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12</v>
      </c>
      <c r="L1" s="3" t="s">
        <v>13</v>
      </c>
      <c r="M1" s="3" t="s">
        <v>17</v>
      </c>
    </row>
    <row r="2" spans="1:13" x14ac:dyDescent="0.2">
      <c r="A2" s="1">
        <v>43879.009722222225</v>
      </c>
      <c r="B2" t="s">
        <v>19</v>
      </c>
      <c r="C2">
        <v>29523850</v>
      </c>
      <c r="D2" s="1">
        <v>43871.618981481479</v>
      </c>
      <c r="E2" s="2">
        <v>115.62</v>
      </c>
      <c r="F2" s="2">
        <v>9.25</v>
      </c>
      <c r="G2" s="2">
        <v>11.56</v>
      </c>
      <c r="H2" s="2">
        <v>7.99</v>
      </c>
      <c r="I2" s="2">
        <v>-122.86</v>
      </c>
      <c r="J2" s="2">
        <v>17.34</v>
      </c>
      <c r="K2" s="2">
        <v>3.97</v>
      </c>
      <c r="L2" s="2">
        <v>0.25</v>
      </c>
      <c r="M2" s="2">
        <v>144.41999999999999</v>
      </c>
    </row>
    <row r="3" spans="1:13" x14ac:dyDescent="0.2">
      <c r="A3" s="1">
        <v>43899.518750000003</v>
      </c>
      <c r="B3" t="s">
        <v>19</v>
      </c>
      <c r="C3">
        <v>29690431</v>
      </c>
      <c r="D3" s="1">
        <v>43891.307199074072</v>
      </c>
      <c r="E3" s="2">
        <v>405.46</v>
      </c>
      <c r="F3" s="2">
        <v>32.44</v>
      </c>
      <c r="G3" s="2">
        <v>60.82</v>
      </c>
      <c r="H3" s="2">
        <v>39.99</v>
      </c>
      <c r="I3" s="2">
        <v>-441.83</v>
      </c>
      <c r="J3" s="2">
        <v>60.82</v>
      </c>
      <c r="K3" s="2">
        <v>14.22</v>
      </c>
      <c r="L3" s="2">
        <v>0.25</v>
      </c>
      <c r="M3" s="2">
        <v>517.12</v>
      </c>
    </row>
    <row r="4" spans="1:13" x14ac:dyDescent="0.2">
      <c r="A4" s="1">
        <v>43983.405555555553</v>
      </c>
      <c r="B4" t="s">
        <v>19</v>
      </c>
      <c r="C4">
        <v>30357135</v>
      </c>
      <c r="D4" s="1">
        <v>43976.899537037039</v>
      </c>
      <c r="E4" s="2">
        <v>133.93</v>
      </c>
      <c r="F4" s="2">
        <v>10.71</v>
      </c>
      <c r="G4" s="2">
        <v>20.09</v>
      </c>
      <c r="H4" s="2">
        <v>9.99</v>
      </c>
      <c r="I4" s="2">
        <v>-149.58000000000001</v>
      </c>
      <c r="J4" s="2">
        <v>20.09</v>
      </c>
      <c r="K4" s="2">
        <v>4.8</v>
      </c>
      <c r="L4" s="2">
        <v>0.25</v>
      </c>
      <c r="M4" s="2">
        <v>174.72</v>
      </c>
    </row>
    <row r="5" spans="1:13" x14ac:dyDescent="0.2">
      <c r="A5" s="1">
        <v>44130.686111111114</v>
      </c>
      <c r="B5" t="s">
        <v>19</v>
      </c>
      <c r="C5">
        <v>31514778</v>
      </c>
      <c r="D5" s="1">
        <v>44123.563449074078</v>
      </c>
      <c r="E5" s="2">
        <v>114.96</v>
      </c>
      <c r="F5" s="2">
        <v>9.1999999999999993</v>
      </c>
      <c r="G5" s="2">
        <v>11.5</v>
      </c>
      <c r="H5" s="2">
        <v>19.989999999999998</v>
      </c>
      <c r="I5" s="2">
        <v>-133.88</v>
      </c>
      <c r="J5" s="2">
        <v>17.239999999999998</v>
      </c>
      <c r="K5" s="2">
        <v>4.28</v>
      </c>
      <c r="L5" s="2">
        <v>0.25</v>
      </c>
      <c r="M5" s="2">
        <v>155.65</v>
      </c>
    </row>
    <row r="6" spans="1:13" x14ac:dyDescent="0.2">
      <c r="A6" s="1"/>
      <c r="D6" s="1"/>
      <c r="E6" s="7">
        <f t="shared" ref="E6:M6" si="0">SUM(E2:E5)</f>
        <v>769.97</v>
      </c>
      <c r="F6" s="7">
        <f t="shared" si="0"/>
        <v>61.599999999999994</v>
      </c>
      <c r="G6" s="7">
        <f t="shared" si="0"/>
        <v>103.97</v>
      </c>
      <c r="H6" s="7">
        <f t="shared" si="0"/>
        <v>77.960000000000008</v>
      </c>
      <c r="I6" s="7">
        <f t="shared" si="0"/>
        <v>-848.15</v>
      </c>
      <c r="J6" s="7">
        <f t="shared" si="0"/>
        <v>115.49</v>
      </c>
      <c r="K6" s="7">
        <f t="shared" si="0"/>
        <v>27.270000000000003</v>
      </c>
      <c r="L6" s="7">
        <f t="shared" si="0"/>
        <v>1</v>
      </c>
      <c r="M6" s="7">
        <f t="shared" si="0"/>
        <v>991.91</v>
      </c>
    </row>
  </sheetData>
  <autoFilter ref="A1:M6" xr:uid="{26AFABBC-E5AB-4434-ABDC-24350AE162DC}"/>
  <sortState xmlns:xlrd2="http://schemas.microsoft.com/office/spreadsheetml/2017/richdata2" ref="A2:M6">
    <sortCondition ref="B2:B6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794E6-A825-4575-9AF8-CDB3E85CB4E6}">
  <dimension ref="A1:S18"/>
  <sheetViews>
    <sheetView workbookViewId="0">
      <selection activeCell="K30" sqref="K30"/>
    </sheetView>
  </sheetViews>
  <sheetFormatPr defaultRowHeight="10.199999999999999" x14ac:dyDescent="0.2"/>
  <cols>
    <col min="1" max="1" width="16.42578125" bestFit="1" customWidth="1"/>
    <col min="2" max="2" width="13.140625" bestFit="1" customWidth="1"/>
    <col min="3" max="3" width="9.85546875" bestFit="1" customWidth="1"/>
    <col min="4" max="4" width="16.42578125" bestFit="1" customWidth="1"/>
    <col min="5" max="9" width="9.28515625" bestFit="1" customWidth="1"/>
    <col min="10" max="10" width="10" bestFit="1" customWidth="1"/>
    <col min="11" max="19" width="9.28515625" bestFit="1" customWidth="1"/>
  </cols>
  <sheetData>
    <row r="1" spans="1:19" s="4" customFormat="1" ht="4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2">
      <c r="A2" s="1">
        <v>43899.518750000003</v>
      </c>
      <c r="B2" t="s">
        <v>20</v>
      </c>
      <c r="C2">
        <v>29708685</v>
      </c>
      <c r="D2" s="1">
        <v>43893.628680555557</v>
      </c>
      <c r="E2" s="2">
        <v>10.99</v>
      </c>
      <c r="F2" s="2">
        <v>0</v>
      </c>
      <c r="G2" s="2">
        <v>0.88</v>
      </c>
      <c r="H2" s="2">
        <v>0</v>
      </c>
      <c r="I2" s="2">
        <v>0</v>
      </c>
      <c r="J2" s="2">
        <v>-9.67</v>
      </c>
      <c r="K2" s="2">
        <v>1.65</v>
      </c>
      <c r="L2" s="2">
        <v>0</v>
      </c>
      <c r="M2" s="2">
        <v>0.3</v>
      </c>
      <c r="N2" s="2">
        <v>0.25</v>
      </c>
      <c r="O2" s="2">
        <v>0</v>
      </c>
      <c r="P2" s="2">
        <v>0</v>
      </c>
      <c r="Q2" s="2">
        <v>1.1000000000000001</v>
      </c>
      <c r="R2" s="2">
        <v>10.77</v>
      </c>
      <c r="S2" s="2">
        <v>0</v>
      </c>
    </row>
    <row r="3" spans="1:19" x14ac:dyDescent="0.2">
      <c r="A3" s="1">
        <v>43906.436111111114</v>
      </c>
      <c r="B3" t="s">
        <v>20</v>
      </c>
      <c r="C3">
        <v>29767992</v>
      </c>
      <c r="D3" s="1">
        <v>43900.567546296297</v>
      </c>
      <c r="E3" s="2">
        <v>71.459999999999994</v>
      </c>
      <c r="F3" s="2">
        <v>0</v>
      </c>
      <c r="G3" s="2">
        <v>5.72</v>
      </c>
      <c r="H3" s="2">
        <v>10.72</v>
      </c>
      <c r="I3" s="2">
        <v>1.99</v>
      </c>
      <c r="J3" s="2">
        <v>-76.64</v>
      </c>
      <c r="K3" s="2">
        <v>10.72</v>
      </c>
      <c r="L3" s="2">
        <v>0</v>
      </c>
      <c r="M3" s="2">
        <v>2.2799999999999998</v>
      </c>
      <c r="N3" s="2">
        <v>0.25</v>
      </c>
      <c r="O3" s="2">
        <v>0</v>
      </c>
      <c r="P3" s="2">
        <v>0</v>
      </c>
      <c r="Q3" s="2">
        <v>7.15</v>
      </c>
      <c r="R3" s="2">
        <v>82.74</v>
      </c>
      <c r="S3" s="2">
        <v>0</v>
      </c>
    </row>
    <row r="4" spans="1:19" x14ac:dyDescent="0.2">
      <c r="A4" s="1">
        <v>43906.436111111114</v>
      </c>
      <c r="B4" t="s">
        <v>20</v>
      </c>
      <c r="C4">
        <v>29788982</v>
      </c>
      <c r="D4" s="1">
        <v>43902.905671296299</v>
      </c>
      <c r="E4" s="2">
        <v>17.989999999999998</v>
      </c>
      <c r="F4" s="2">
        <v>0</v>
      </c>
      <c r="G4" s="2">
        <v>1.44</v>
      </c>
      <c r="H4" s="2">
        <v>0</v>
      </c>
      <c r="I4" s="2">
        <v>0</v>
      </c>
      <c r="J4" s="2">
        <v>-15.95</v>
      </c>
      <c r="K4" s="2">
        <v>2.7</v>
      </c>
      <c r="L4" s="2">
        <v>0</v>
      </c>
      <c r="M4" s="2">
        <v>0.53</v>
      </c>
      <c r="N4" s="2">
        <v>0.25</v>
      </c>
      <c r="O4" s="2">
        <v>0</v>
      </c>
      <c r="P4" s="2">
        <v>0</v>
      </c>
      <c r="Q4" s="2">
        <v>0</v>
      </c>
      <c r="R4" s="2">
        <v>19.43</v>
      </c>
      <c r="S4" s="2">
        <v>0</v>
      </c>
    </row>
    <row r="5" spans="1:19" x14ac:dyDescent="0.2">
      <c r="A5" s="1">
        <v>43920.482638888891</v>
      </c>
      <c r="B5" t="s">
        <v>20</v>
      </c>
      <c r="C5">
        <v>29866070</v>
      </c>
      <c r="D5" s="1">
        <v>43913.583599537036</v>
      </c>
      <c r="E5" s="2">
        <v>23.98</v>
      </c>
      <c r="F5" s="2">
        <v>0</v>
      </c>
      <c r="G5" s="2">
        <v>1.92</v>
      </c>
      <c r="H5" s="2">
        <v>0</v>
      </c>
      <c r="I5" s="2">
        <v>0</v>
      </c>
      <c r="J5" s="2">
        <v>-21.34</v>
      </c>
      <c r="K5" s="2">
        <v>3.6</v>
      </c>
      <c r="L5" s="2">
        <v>0</v>
      </c>
      <c r="M5" s="2">
        <v>0.71</v>
      </c>
      <c r="N5" s="2">
        <v>0.25</v>
      </c>
      <c r="O5" s="2">
        <v>0</v>
      </c>
      <c r="P5" s="2">
        <v>0</v>
      </c>
      <c r="Q5" s="2">
        <v>0</v>
      </c>
      <c r="R5" s="2">
        <v>25.9</v>
      </c>
      <c r="S5" s="2">
        <v>0</v>
      </c>
    </row>
    <row r="6" spans="1:19" x14ac:dyDescent="0.2">
      <c r="A6" s="1">
        <v>43927.390972222223</v>
      </c>
      <c r="B6" t="s">
        <v>20</v>
      </c>
      <c r="C6">
        <v>29949305</v>
      </c>
      <c r="D6" s="1">
        <v>43924.911759259259</v>
      </c>
      <c r="E6" s="2">
        <v>36.72</v>
      </c>
      <c r="F6" s="2">
        <v>0</v>
      </c>
      <c r="G6" s="2">
        <v>2.94</v>
      </c>
      <c r="H6" s="2">
        <v>5.51</v>
      </c>
      <c r="I6" s="2">
        <v>1.99</v>
      </c>
      <c r="J6" s="2">
        <v>-40.159999999999997</v>
      </c>
      <c r="K6" s="2">
        <v>5.51</v>
      </c>
      <c r="L6" s="2">
        <v>0</v>
      </c>
      <c r="M6" s="2">
        <v>1.24</v>
      </c>
      <c r="N6" s="2">
        <v>0.25</v>
      </c>
      <c r="O6" s="2">
        <v>0</v>
      </c>
      <c r="P6" s="2">
        <v>0</v>
      </c>
      <c r="Q6" s="2">
        <v>1.99</v>
      </c>
      <c r="R6" s="2">
        <v>45.17</v>
      </c>
      <c r="S6" s="2">
        <v>0</v>
      </c>
    </row>
    <row r="7" spans="1:19" x14ac:dyDescent="0.2">
      <c r="A7" s="1">
        <v>43934.445833333331</v>
      </c>
      <c r="B7" t="s">
        <v>20</v>
      </c>
      <c r="C7">
        <v>29975670</v>
      </c>
      <c r="D7" s="1">
        <v>43928.699212962965</v>
      </c>
      <c r="E7" s="2">
        <v>42.97</v>
      </c>
      <c r="F7" s="2">
        <v>0</v>
      </c>
      <c r="G7" s="2">
        <v>3.44</v>
      </c>
      <c r="H7" s="2">
        <v>8.59</v>
      </c>
      <c r="I7" s="2">
        <v>1.99</v>
      </c>
      <c r="J7" s="2">
        <v>-48.91</v>
      </c>
      <c r="K7" s="2">
        <v>6.45</v>
      </c>
      <c r="L7" s="2">
        <v>0</v>
      </c>
      <c r="M7" s="2">
        <v>1.38</v>
      </c>
      <c r="N7" s="2">
        <v>0.25</v>
      </c>
      <c r="O7" s="2">
        <v>0</v>
      </c>
      <c r="P7" s="2">
        <v>0</v>
      </c>
      <c r="Q7" s="2">
        <v>6.99</v>
      </c>
      <c r="R7" s="2">
        <v>50</v>
      </c>
      <c r="S7" s="2">
        <v>0</v>
      </c>
    </row>
    <row r="8" spans="1:19" x14ac:dyDescent="0.2">
      <c r="A8" s="1">
        <v>43934.445833333331</v>
      </c>
      <c r="B8" t="s">
        <v>20</v>
      </c>
      <c r="C8">
        <v>30011230</v>
      </c>
      <c r="D8" s="1">
        <v>43932.85465277778</v>
      </c>
      <c r="E8" s="2">
        <v>22.98</v>
      </c>
      <c r="F8" s="2">
        <v>0</v>
      </c>
      <c r="G8" s="2">
        <v>1.84</v>
      </c>
      <c r="H8" s="2">
        <v>3.45</v>
      </c>
      <c r="I8" s="2">
        <v>1.99</v>
      </c>
      <c r="J8" s="2">
        <v>-25.78</v>
      </c>
      <c r="K8" s="2">
        <v>3.45</v>
      </c>
      <c r="L8" s="2">
        <v>0</v>
      </c>
      <c r="M8" s="2">
        <v>0.78</v>
      </c>
      <c r="N8" s="2">
        <v>0.25</v>
      </c>
      <c r="O8" s="2">
        <v>0</v>
      </c>
      <c r="P8" s="2">
        <v>0</v>
      </c>
      <c r="Q8" s="2">
        <v>1.99</v>
      </c>
      <c r="R8" s="2">
        <v>28.27</v>
      </c>
      <c r="S8" s="2">
        <v>0</v>
      </c>
    </row>
    <row r="9" spans="1:19" x14ac:dyDescent="0.2">
      <c r="A9" s="1">
        <v>43941.45416666667</v>
      </c>
      <c r="B9" t="s">
        <v>20</v>
      </c>
      <c r="C9">
        <v>30017135</v>
      </c>
      <c r="D9" s="1">
        <v>43933.855451388888</v>
      </c>
      <c r="E9" s="2">
        <v>40.85</v>
      </c>
      <c r="F9" s="2">
        <v>0</v>
      </c>
      <c r="G9" s="2">
        <v>3.27</v>
      </c>
      <c r="H9" s="2">
        <v>0</v>
      </c>
      <c r="I9" s="2">
        <v>0</v>
      </c>
      <c r="J9" s="2">
        <v>-36.53</v>
      </c>
      <c r="K9" s="2">
        <v>6.13</v>
      </c>
      <c r="L9" s="2">
        <v>0</v>
      </c>
      <c r="M9" s="2">
        <v>1.21</v>
      </c>
      <c r="N9" s="2">
        <v>0.25</v>
      </c>
      <c r="O9" s="2">
        <v>0</v>
      </c>
      <c r="P9" s="2">
        <v>0</v>
      </c>
      <c r="Q9" s="2">
        <v>0</v>
      </c>
      <c r="R9" s="2">
        <v>44.12</v>
      </c>
      <c r="S9" s="2">
        <v>0</v>
      </c>
    </row>
    <row r="10" spans="1:19" x14ac:dyDescent="0.2">
      <c r="A10" s="1">
        <v>43941.45416666667</v>
      </c>
      <c r="B10" t="s">
        <v>20</v>
      </c>
      <c r="C10">
        <v>30035258</v>
      </c>
      <c r="D10" s="1">
        <v>43936.729166666664</v>
      </c>
      <c r="E10" s="2">
        <v>20.48</v>
      </c>
      <c r="F10" s="2">
        <v>0</v>
      </c>
      <c r="G10" s="2">
        <v>1.64</v>
      </c>
      <c r="H10" s="2">
        <v>4.0999999999999996</v>
      </c>
      <c r="I10" s="2">
        <v>4.99</v>
      </c>
      <c r="J10" s="2">
        <v>-27.17</v>
      </c>
      <c r="K10" s="2">
        <v>3.07</v>
      </c>
      <c r="L10" s="2">
        <v>0</v>
      </c>
      <c r="M10" s="2">
        <v>0.72</v>
      </c>
      <c r="N10" s="2">
        <v>0.25</v>
      </c>
      <c r="O10" s="2">
        <v>0</v>
      </c>
      <c r="P10" s="2">
        <v>0</v>
      </c>
      <c r="Q10" s="2">
        <v>4.99</v>
      </c>
      <c r="R10" s="2">
        <v>26.22</v>
      </c>
      <c r="S10" s="2">
        <v>0</v>
      </c>
    </row>
    <row r="11" spans="1:19" x14ac:dyDescent="0.2">
      <c r="A11" s="1">
        <v>44144.529861111114</v>
      </c>
      <c r="B11" t="s">
        <v>20</v>
      </c>
      <c r="C11">
        <v>31635621</v>
      </c>
      <c r="D11" s="1">
        <v>44138.598715277774</v>
      </c>
      <c r="E11" s="2">
        <v>11.99</v>
      </c>
      <c r="F11" s="2">
        <v>0</v>
      </c>
      <c r="G11" s="2">
        <v>0.96</v>
      </c>
      <c r="H11" s="2">
        <v>0</v>
      </c>
      <c r="I11" s="2">
        <v>0</v>
      </c>
      <c r="J11" s="2">
        <v>-10.63</v>
      </c>
      <c r="K11" s="2">
        <v>1.8</v>
      </c>
      <c r="L11" s="2">
        <v>0</v>
      </c>
      <c r="M11" s="2">
        <v>0.27</v>
      </c>
      <c r="N11" s="2">
        <v>0.25</v>
      </c>
      <c r="O11" s="2">
        <v>0</v>
      </c>
      <c r="P11" s="2">
        <v>0</v>
      </c>
      <c r="Q11" s="2">
        <v>3</v>
      </c>
      <c r="R11" s="2">
        <v>9.9499999999999993</v>
      </c>
      <c r="S11" s="2">
        <v>0</v>
      </c>
    </row>
    <row r="12" spans="1:19" x14ac:dyDescent="0.2">
      <c r="A12" s="1">
        <v>44228.500694444447</v>
      </c>
      <c r="B12" t="s">
        <v>20</v>
      </c>
      <c r="C12">
        <v>32297546</v>
      </c>
      <c r="D12" s="1">
        <v>44222.622291666667</v>
      </c>
      <c r="E12" s="2">
        <v>32.97</v>
      </c>
      <c r="F12" s="2">
        <v>4.95</v>
      </c>
      <c r="G12" s="2">
        <v>2.2400000000000002</v>
      </c>
      <c r="H12" s="2">
        <v>3</v>
      </c>
      <c r="I12" s="2">
        <v>4.99</v>
      </c>
      <c r="J12" s="2">
        <v>-32.76</v>
      </c>
      <c r="K12" s="2">
        <v>4.2</v>
      </c>
      <c r="L12" s="2">
        <v>0</v>
      </c>
      <c r="M12" s="2">
        <v>1.05</v>
      </c>
      <c r="N12" s="2">
        <v>0.25</v>
      </c>
      <c r="O12" s="2">
        <v>0</v>
      </c>
      <c r="P12" s="2">
        <v>0</v>
      </c>
      <c r="Q12" s="2">
        <v>0</v>
      </c>
      <c r="R12" s="2">
        <v>38.26</v>
      </c>
      <c r="S12" s="2">
        <v>0</v>
      </c>
    </row>
    <row r="13" spans="1:19" x14ac:dyDescent="0.2">
      <c r="A13" s="1">
        <v>44389.712500000001</v>
      </c>
      <c r="B13" t="s">
        <v>20</v>
      </c>
      <c r="C13">
        <v>33582502</v>
      </c>
      <c r="D13" s="1">
        <v>44383.943287037036</v>
      </c>
      <c r="E13" s="2">
        <v>10.19</v>
      </c>
      <c r="F13" s="2">
        <v>1.8</v>
      </c>
      <c r="G13" s="2">
        <v>0.82</v>
      </c>
      <c r="H13" s="2">
        <v>0</v>
      </c>
      <c r="I13" s="2">
        <v>0</v>
      </c>
      <c r="J13" s="2">
        <v>-9.1999999999999993</v>
      </c>
      <c r="K13" s="2">
        <v>1.26</v>
      </c>
      <c r="L13" s="2">
        <v>0</v>
      </c>
      <c r="M13" s="2">
        <v>0.3</v>
      </c>
      <c r="N13" s="2">
        <v>0.25</v>
      </c>
      <c r="O13" s="2">
        <v>0</v>
      </c>
      <c r="P13" s="2">
        <v>0</v>
      </c>
      <c r="Q13" s="2">
        <v>0</v>
      </c>
      <c r="R13" s="2">
        <v>11.01</v>
      </c>
      <c r="S13" s="2">
        <v>0</v>
      </c>
    </row>
    <row r="14" spans="1:19" x14ac:dyDescent="0.2">
      <c r="A14" s="1">
        <v>44676.725694444445</v>
      </c>
      <c r="B14" t="s">
        <v>20</v>
      </c>
      <c r="C14">
        <v>35304414</v>
      </c>
      <c r="D14" s="1">
        <v>44673.657511574071</v>
      </c>
      <c r="E14" s="2">
        <v>48.22</v>
      </c>
      <c r="F14" s="2">
        <v>8.51</v>
      </c>
      <c r="G14" s="2">
        <v>3.86</v>
      </c>
      <c r="H14" s="2">
        <v>0</v>
      </c>
      <c r="I14" s="2">
        <v>0</v>
      </c>
      <c r="J14" s="2">
        <v>-44.44</v>
      </c>
      <c r="K14" s="2">
        <v>5.96</v>
      </c>
      <c r="L14" s="2">
        <v>0</v>
      </c>
      <c r="M14" s="2">
        <v>1.43</v>
      </c>
      <c r="N14" s="2">
        <v>0.25</v>
      </c>
      <c r="O14" s="2">
        <v>0</v>
      </c>
      <c r="P14" s="2">
        <v>0</v>
      </c>
      <c r="Q14" s="2">
        <v>0</v>
      </c>
      <c r="R14" s="2">
        <v>52.08</v>
      </c>
      <c r="S14" s="2">
        <v>0</v>
      </c>
    </row>
    <row r="15" spans="1:19" x14ac:dyDescent="0.2">
      <c r="A15" s="1">
        <v>45390.572916666664</v>
      </c>
      <c r="B15" t="s">
        <v>20</v>
      </c>
      <c r="C15">
        <v>37609148</v>
      </c>
      <c r="D15" s="1">
        <v>45388.928020833337</v>
      </c>
      <c r="E15" s="2">
        <v>24.63</v>
      </c>
      <c r="F15" s="2">
        <v>4.3499999999999996</v>
      </c>
      <c r="G15" s="2">
        <v>1.7330000000000001</v>
      </c>
      <c r="H15" s="2">
        <v>4</v>
      </c>
      <c r="I15" s="2">
        <v>4.99</v>
      </c>
      <c r="J15" s="2">
        <v>-29.95</v>
      </c>
      <c r="K15" s="2">
        <v>3.04</v>
      </c>
      <c r="L15" s="2">
        <v>0</v>
      </c>
      <c r="M15" s="2">
        <v>0.38</v>
      </c>
      <c r="N15" s="2">
        <v>0.25</v>
      </c>
      <c r="O15" s="2">
        <v>21.8</v>
      </c>
      <c r="P15" s="2">
        <v>0</v>
      </c>
      <c r="Q15" s="2">
        <v>0</v>
      </c>
      <c r="R15" s="2">
        <v>13.79</v>
      </c>
      <c r="S15" s="2">
        <v>1.97</v>
      </c>
    </row>
    <row r="16" spans="1:19" x14ac:dyDescent="0.2">
      <c r="A16" s="1">
        <v>45670.49722222222</v>
      </c>
      <c r="B16" t="s">
        <v>20</v>
      </c>
      <c r="C16">
        <v>38003861</v>
      </c>
      <c r="D16" s="1">
        <v>45667.80736111111</v>
      </c>
      <c r="E16" s="2">
        <v>13.59</v>
      </c>
      <c r="F16" s="2">
        <v>2.4</v>
      </c>
      <c r="G16" s="2">
        <v>1.05</v>
      </c>
      <c r="H16" s="2">
        <v>0</v>
      </c>
      <c r="I16" s="2">
        <v>0</v>
      </c>
      <c r="J16" s="2">
        <v>-11.39</v>
      </c>
      <c r="K16" s="2">
        <v>0</v>
      </c>
      <c r="L16" s="2">
        <v>1.68</v>
      </c>
      <c r="M16" s="2">
        <v>0.27</v>
      </c>
      <c r="N16" s="2">
        <v>0.25</v>
      </c>
      <c r="O16" s="2">
        <v>0</v>
      </c>
      <c r="P16" s="2">
        <v>0</v>
      </c>
      <c r="Q16" s="2">
        <v>5</v>
      </c>
      <c r="R16" s="2">
        <v>9.64</v>
      </c>
      <c r="S16" s="2">
        <v>1.05</v>
      </c>
    </row>
    <row r="17" spans="1:19" x14ac:dyDescent="0.2">
      <c r="A17" s="1">
        <v>45670.49722222222</v>
      </c>
      <c r="B17" t="s">
        <v>20</v>
      </c>
      <c r="C17">
        <v>38003932</v>
      </c>
      <c r="D17" s="1">
        <v>45667.825983796298</v>
      </c>
      <c r="E17" s="2">
        <v>12.99</v>
      </c>
      <c r="F17" s="2">
        <v>0</v>
      </c>
      <c r="G17" s="2">
        <v>1.01</v>
      </c>
      <c r="H17" s="2">
        <v>0</v>
      </c>
      <c r="I17" s="2">
        <v>0</v>
      </c>
      <c r="J17" s="2">
        <v>-10.54</v>
      </c>
      <c r="K17" s="2">
        <v>0</v>
      </c>
      <c r="L17" s="2">
        <v>1.95</v>
      </c>
      <c r="M17" s="2">
        <v>0.25</v>
      </c>
      <c r="N17" s="2">
        <v>0.25</v>
      </c>
      <c r="O17" s="2">
        <v>0</v>
      </c>
      <c r="P17" s="2">
        <v>0</v>
      </c>
      <c r="Q17" s="2">
        <v>5</v>
      </c>
      <c r="R17" s="2">
        <v>9</v>
      </c>
      <c r="S17" s="2">
        <v>1.01</v>
      </c>
    </row>
    <row r="18" spans="1:19" s="5" customFormat="1" x14ac:dyDescent="0.2">
      <c r="E18" s="6">
        <f t="shared" ref="E18:S18" si="0">SUM(E2:E17)</f>
        <v>442.99999999999994</v>
      </c>
      <c r="F18" s="6">
        <f t="shared" si="0"/>
        <v>22.009999999999998</v>
      </c>
      <c r="G18" s="6">
        <f t="shared" si="0"/>
        <v>34.762999999999991</v>
      </c>
      <c r="H18" s="6">
        <f t="shared" si="0"/>
        <v>39.369999999999997</v>
      </c>
      <c r="I18" s="6">
        <f t="shared" si="0"/>
        <v>22.93</v>
      </c>
      <c r="J18" s="6">
        <f t="shared" si="0"/>
        <v>-451.06</v>
      </c>
      <c r="K18" s="6">
        <f t="shared" si="0"/>
        <v>59.54</v>
      </c>
      <c r="L18" s="6">
        <f t="shared" si="0"/>
        <v>3.63</v>
      </c>
      <c r="M18" s="6">
        <f t="shared" si="0"/>
        <v>13.100000000000001</v>
      </c>
      <c r="N18" s="6">
        <f t="shared" si="0"/>
        <v>4</v>
      </c>
      <c r="O18" s="6">
        <f t="shared" si="0"/>
        <v>21.8</v>
      </c>
      <c r="P18" s="6">
        <f t="shared" si="0"/>
        <v>0</v>
      </c>
      <c r="Q18" s="6">
        <f t="shared" si="0"/>
        <v>37.21</v>
      </c>
      <c r="R18" s="6">
        <f t="shared" si="0"/>
        <v>476.34999999999997</v>
      </c>
      <c r="S18" s="6">
        <f t="shared" si="0"/>
        <v>4.03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20491 Alton Pkwy _ Catering</vt:lpstr>
      <vt:lpstr>20491 Alton Pkwy 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</dc:creator>
  <cp:lastModifiedBy>Sumaya Williams</cp:lastModifiedBy>
  <dcterms:created xsi:type="dcterms:W3CDTF">2026-02-18T19:50:35Z</dcterms:created>
  <dcterms:modified xsi:type="dcterms:W3CDTF">2026-02-18T19:50:35Z</dcterms:modified>
</cp:coreProperties>
</file>